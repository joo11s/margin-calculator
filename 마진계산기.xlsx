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마진계산기" sheetId="1" state="visible" r:id="rId1"/>
    <sheet name="수수료기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i val="1"/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FF6600"/>
      </patternFill>
    </fill>
    <fill>
      <patternFill patternType="solid">
        <fgColor rgb="0000B0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7F6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center" vertical="center" wrapText="1"/>
    </xf>
    <xf numFmtId="3" fontId="1" fillId="5" borderId="1" applyAlignment="1" pivotButton="0" quotePrefix="0" xfId="0">
      <alignment horizontal="center" vertical="center" wrapText="1"/>
    </xf>
    <xf numFmtId="10" fontId="1" fillId="5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8" customHeight="1">
      <c r="A1" s="1" t="inlineStr">
        <is>
          <t>[ 섹션1 ] 원가 입력</t>
        </is>
      </c>
      <c r="B1" s="1" t="n"/>
    </row>
    <row r="2" ht="18" customHeight="1">
      <c r="A2" s="2" t="inlineStr">
        <is>
          <t>제조원가 / 공급가</t>
        </is>
      </c>
      <c r="B2" s="3" t="n">
        <v>0</v>
      </c>
    </row>
    <row r="3" ht="18" customHeight="1">
      <c r="A3" s="2" t="inlineStr">
        <is>
          <t>포장재① (박스)</t>
        </is>
      </c>
      <c r="B3" s="3" t="n">
        <v>0</v>
      </c>
    </row>
    <row r="4" ht="18" customHeight="1">
      <c r="A4" s="2" t="inlineStr">
        <is>
          <t>포장재② (완충재)</t>
        </is>
      </c>
      <c r="B4" s="3" t="n">
        <v>0</v>
      </c>
    </row>
    <row r="5" ht="18" customHeight="1">
      <c r="A5" s="2" t="inlineStr">
        <is>
          <t>포장재③ (테이프)</t>
        </is>
      </c>
      <c r="B5" s="3" t="n">
        <v>0</v>
      </c>
    </row>
    <row r="6" ht="18" customHeight="1">
      <c r="A6" s="2" t="inlineStr">
        <is>
          <t>포장재④ (라벨)</t>
        </is>
      </c>
      <c r="B6" s="3" t="n">
        <v>0</v>
      </c>
    </row>
    <row r="7" ht="18" customHeight="1">
      <c r="A7" s="2" t="inlineStr">
        <is>
          <t>포장재⑤ (설명서)</t>
        </is>
      </c>
      <c r="B7" s="3" t="n">
        <v>0</v>
      </c>
    </row>
    <row r="8" ht="18" customHeight="1">
      <c r="A8" s="2" t="inlineStr">
        <is>
          <t>포장재⑥ (기타)</t>
        </is>
      </c>
      <c r="B8" s="3" t="n">
        <v>0</v>
      </c>
    </row>
    <row r="9" ht="18" customHeight="1">
      <c r="A9" s="2" t="inlineStr">
        <is>
          <t>인건비</t>
        </is>
      </c>
      <c r="B9" s="3" t="n">
        <v>0</v>
      </c>
    </row>
    <row r="10" ht="18" customHeight="1">
      <c r="A10" s="2" t="inlineStr">
        <is>
          <t>기타비용</t>
        </is>
      </c>
      <c r="B10" s="3" t="n">
        <v>0</v>
      </c>
    </row>
    <row r="11" ht="18" customHeight="1">
      <c r="A11" s="2" t="inlineStr">
        <is>
          <t>포장재 합계</t>
        </is>
      </c>
      <c r="B11" s="4">
        <f>IFERROR(SUM(B3:B8),0)</f>
        <v/>
      </c>
    </row>
    <row r="12" ht="18" customHeight="1">
      <c r="A12" s="2" t="inlineStr">
        <is>
          <t>총원가 합계</t>
        </is>
      </c>
      <c r="B12" s="4">
        <f>IFERROR(B2+B11+B9+B10,0)</f>
        <v/>
      </c>
    </row>
    <row r="13" ht="18" customHeight="1">
      <c r="A13" s="2" t="inlineStr">
        <is>
          <t>과세 구분</t>
        </is>
      </c>
      <c r="B13" s="5" t="inlineStr">
        <is>
          <t>과세</t>
        </is>
      </c>
    </row>
    <row r="14" ht="18" customHeight="1">
      <c r="A14" s="2" t="inlineStr">
        <is>
          <t>부가세 (※ 섹션3 자동계산)</t>
        </is>
      </c>
      <c r="B14" s="6">
        <f>IFERROR(IF(B13="과세","판매가/11 적용","면세"),"")</f>
        <v/>
      </c>
    </row>
    <row r="15" ht="18" customHeight="1"/>
    <row r="16" ht="18" customHeight="1">
      <c r="A16" s="1" t="inlineStr">
        <is>
          <t>[ 섹션2 ] 배송비</t>
        </is>
      </c>
      <c r="B16" s="1" t="n"/>
    </row>
    <row r="17" ht="18" customHeight="1">
      <c r="A17" s="2" t="inlineStr">
        <is>
          <t>무료배송 기준금액</t>
        </is>
      </c>
      <c r="B17" s="3" t="n">
        <v>30000</v>
      </c>
    </row>
    <row r="18" ht="18" customHeight="1">
      <c r="A18" s="2" t="inlineStr">
        <is>
          <t>배송비 단가</t>
        </is>
      </c>
      <c r="B18" s="3" t="n">
        <v>3000</v>
      </c>
    </row>
    <row r="19" ht="18" customHeight="1"/>
    <row r="20" ht="18" customHeight="1">
      <c r="A20" s="1" t="inlineStr">
        <is>
          <t>[ 섹션3 ] 플랫폼별 마진</t>
        </is>
      </c>
      <c r="B20" s="1" t="n"/>
      <c r="C20" s="1" t="n"/>
      <c r="D20" s="1" t="n"/>
      <c r="E20" s="1" t="n"/>
      <c r="F20" s="1" t="n"/>
      <c r="G20" s="1" t="n"/>
    </row>
    <row r="21" ht="18" customHeight="1">
      <c r="A21" s="1" t="inlineStr">
        <is>
          <t>항목 \ 플랫폼</t>
        </is>
      </c>
      <c r="B21" s="1" t="inlineStr">
        <is>
          <t>스마트스토어</t>
        </is>
      </c>
      <c r="C21" s="1" t="inlineStr">
        <is>
          <t>쿠팡</t>
        </is>
      </c>
      <c r="D21" s="1" t="inlineStr">
        <is>
          <t>카페24</t>
        </is>
      </c>
      <c r="E21" s="1" t="inlineStr">
        <is>
          <t>토스쇼핑</t>
        </is>
      </c>
      <c r="F21" s="1" t="inlineStr">
        <is>
          <t>기타</t>
        </is>
      </c>
    </row>
    <row r="22" ht="18" customHeight="1">
      <c r="A22" s="2" t="inlineStr">
        <is>
          <t>수수료율</t>
        </is>
      </c>
      <c r="B22" s="7" t="n">
        <v>0.0563</v>
      </c>
      <c r="C22" s="7" t="n">
        <v>0.106</v>
      </c>
      <c r="D22" s="7" t="n">
        <v>0.035</v>
      </c>
      <c r="E22" s="7" t="n">
        <v>0.11</v>
      </c>
      <c r="F22" s="7" t="n">
        <v>0.05</v>
      </c>
    </row>
    <row r="23" ht="18" customHeight="1">
      <c r="A23" s="2" t="inlineStr">
        <is>
          <t>판매가 입력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</row>
    <row r="24" ht="18" customHeight="1">
      <c r="A24" s="2" t="inlineStr">
        <is>
          <t>배송비 부담</t>
        </is>
      </c>
      <c r="B24" s="4">
        <f>IFERROR(IF(B23&gt;=$B$17,$B$18,0),0)</f>
        <v/>
      </c>
      <c r="C24" s="4">
        <f>IFERROR(IF(C23&gt;=$B$17,$B$18,0),0)</f>
        <v/>
      </c>
      <c r="D24" s="4">
        <f>IFERROR(IF(D23&gt;=$B$17,$B$18,0),0)</f>
        <v/>
      </c>
      <c r="E24" s="4">
        <f>IFERROR(IF(E23&gt;=$B$17,$B$18,0),0)</f>
        <v/>
      </c>
      <c r="F24" s="4">
        <f>IFERROR(IF(F23&gt;=$B$17,$B$18,0),0)</f>
        <v/>
      </c>
    </row>
    <row r="25" ht="18" customHeight="1">
      <c r="A25" s="2" t="inlineStr">
        <is>
          <t>수수료</t>
        </is>
      </c>
      <c r="B25" s="4">
        <f>IFERROR(B23*B22,0)</f>
        <v/>
      </c>
      <c r="C25" s="4">
        <f>IFERROR(C23*C22,0)</f>
        <v/>
      </c>
      <c r="D25" s="4">
        <f>IFERROR(D23*D22,0)</f>
        <v/>
      </c>
      <c r="E25" s="4">
        <f>IFERROR(E23*E22,0)</f>
        <v/>
      </c>
      <c r="F25" s="4">
        <f>IFERROR(F23*F22,0)</f>
        <v/>
      </c>
    </row>
    <row r="26" ht="18" customHeight="1">
      <c r="A26" s="2" t="inlineStr">
        <is>
          <t>부가세</t>
        </is>
      </c>
      <c r="B26" s="4">
        <f>IFERROR(IF($B$13="과세",B23/11,0),0)</f>
        <v/>
      </c>
      <c r="C26" s="4">
        <f>IFERROR(IF($B$13="과세",C23/11,0),0)</f>
        <v/>
      </c>
      <c r="D26" s="4">
        <f>IFERROR(IF($B$13="과세",D23/11,0),0)</f>
        <v/>
      </c>
      <c r="E26" s="4">
        <f>IFERROR(IF($B$13="과세",E23/11,0),0)</f>
        <v/>
      </c>
      <c r="F26" s="4">
        <f>IFERROR(IF($B$13="과세",F23/11,0),0)</f>
        <v/>
      </c>
    </row>
    <row r="27" ht="18" customHeight="1">
      <c r="A27" s="2" t="inlineStr">
        <is>
          <t>광고비 건당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 ht="18" customHeight="1">
      <c r="A28" s="2" t="inlineStr">
        <is>
          <t>총비용</t>
        </is>
      </c>
      <c r="B28" s="4">
        <f>IFERROR($B$12+B24+B25+B26+B27,0)</f>
        <v/>
      </c>
      <c r="C28" s="4">
        <f>IFERROR($B$12+C24+C25+C26+C27,0)</f>
        <v/>
      </c>
      <c r="D28" s="4">
        <f>IFERROR($B$12+D24+D25+D26+D27,0)</f>
        <v/>
      </c>
      <c r="E28" s="4">
        <f>IFERROR($B$12+E24+E25+E26+E27,0)</f>
        <v/>
      </c>
      <c r="F28" s="4">
        <f>IFERROR($B$12+F24+F25+F26+F27,0)</f>
        <v/>
      </c>
    </row>
    <row r="29" ht="18" customHeight="1">
      <c r="A29" s="2" t="inlineStr">
        <is>
          <t>마진</t>
        </is>
      </c>
      <c r="B29" s="8">
        <f>IFERROR(B23-B28,0)</f>
        <v/>
      </c>
      <c r="C29" s="8">
        <f>IFERROR(C23-C28,0)</f>
        <v/>
      </c>
      <c r="D29" s="8">
        <f>IFERROR(D23-D28,0)</f>
        <v/>
      </c>
      <c r="E29" s="8">
        <f>IFERROR(E23-E28,0)</f>
        <v/>
      </c>
      <c r="F29" s="8">
        <f>IFERROR(F23-F28,0)</f>
        <v/>
      </c>
    </row>
    <row r="30" ht="18" customHeight="1">
      <c r="A30" s="2" t="inlineStr">
        <is>
          <t>마진율</t>
        </is>
      </c>
      <c r="B30" s="9">
        <f>IFERROR(B29/B23,0)</f>
        <v/>
      </c>
      <c r="C30" s="9">
        <f>IFERROR(C29/C23,0)</f>
        <v/>
      </c>
      <c r="D30" s="9">
        <f>IFERROR(D29/D23,0)</f>
        <v/>
      </c>
      <c r="E30" s="9">
        <f>IFERROR(E29/E23,0)</f>
        <v/>
      </c>
      <c r="F30" s="9">
        <f>IFERROR(F29/F23,0)</f>
        <v/>
      </c>
    </row>
    <row r="31" ht="18" customHeight="1"/>
    <row r="32" ht="18" customHeight="1">
      <c r="A32" s="1" t="inlineStr">
        <is>
          <t>[ 섹션4 ] 역산 (목표마진율 기준 최소 판매가)</t>
        </is>
      </c>
      <c r="B32" s="1" t="n"/>
      <c r="C32" s="1" t="n"/>
      <c r="D32" s="1" t="n"/>
      <c r="E32" s="1" t="n"/>
      <c r="F32" s="1" t="n"/>
      <c r="G32" s="1" t="n"/>
    </row>
    <row r="33" ht="18" customHeight="1">
      <c r="A33" s="1" t="inlineStr">
        <is>
          <t>항목 \ 플랫폼</t>
        </is>
      </c>
      <c r="B33" s="1" t="inlineStr">
        <is>
          <t>스마트스토어</t>
        </is>
      </c>
      <c r="C33" s="1" t="inlineStr">
        <is>
          <t>쿠팡</t>
        </is>
      </c>
      <c r="D33" s="1" t="inlineStr">
        <is>
          <t>카페24</t>
        </is>
      </c>
      <c r="E33" s="1" t="inlineStr">
        <is>
          <t>토스쇼핑</t>
        </is>
      </c>
      <c r="F33" s="1" t="inlineStr">
        <is>
          <t>기타</t>
        </is>
      </c>
    </row>
    <row r="34" ht="18" customHeight="1">
      <c r="A34" s="2" t="inlineStr">
        <is>
          <t>목표 마진율</t>
        </is>
      </c>
      <c r="B34" s="10" t="n">
        <v>0.3</v>
      </c>
      <c r="C34" s="10" t="n">
        <v>0.3</v>
      </c>
      <c r="D34" s="10" t="n">
        <v>0.3</v>
      </c>
      <c r="E34" s="10" t="n">
        <v>0.3</v>
      </c>
      <c r="F34" s="10" t="n">
        <v>0.3</v>
      </c>
    </row>
    <row r="35" ht="18" customHeight="1">
      <c r="A35" s="2" t="inlineStr">
        <is>
          <t>최소 판매가</t>
        </is>
      </c>
      <c r="B35" s="11">
        <f>IFERROR(CEILING(($B$12+$B$18)/(1-B22-B34),100),0)</f>
        <v/>
      </c>
      <c r="C35" s="11">
        <f>IFERROR(CEILING(($B$12+$B$18)/(1-C22-C34),100),0)</f>
        <v/>
      </c>
      <c r="D35" s="11">
        <f>IFERROR(CEILING(($B$12+$B$18)/(1-D22-D34),100),0)</f>
        <v/>
      </c>
      <c r="E35" s="11">
        <f>IFERROR(CEILING(($B$12+$B$18)/(1-E22-E34),100),0)</f>
        <v/>
      </c>
      <c r="F35" s="11">
        <f>IFERROR(CEILING(($B$12+$B$18)/(1-F22-F34),100),0)</f>
        <v/>
      </c>
    </row>
    <row r="36" ht="18" customHeight="1"/>
    <row r="37" ht="18" customHeight="1">
      <c r="A37" s="1" t="inlineStr">
        <is>
          <t>[ 섹션5 ] BEP (손익분기점)</t>
        </is>
      </c>
      <c r="B37" s="1" t="n"/>
      <c r="C37" s="1" t="n"/>
      <c r="D37" s="1" t="n"/>
      <c r="E37" s="1" t="n"/>
      <c r="F37" s="1" t="n"/>
      <c r="G37" s="1" t="n"/>
    </row>
    <row r="38" ht="18" customHeight="1">
      <c r="A38" s="1" t="inlineStr">
        <is>
          <t>항목 \ 플랫폼</t>
        </is>
      </c>
      <c r="B38" s="1" t="inlineStr">
        <is>
          <t>스마트스토어</t>
        </is>
      </c>
      <c r="C38" s="1" t="inlineStr">
        <is>
          <t>쿠팡</t>
        </is>
      </c>
      <c r="D38" s="1" t="inlineStr">
        <is>
          <t>카페24</t>
        </is>
      </c>
      <c r="E38" s="1" t="inlineStr">
        <is>
          <t>토스쇼핑</t>
        </is>
      </c>
      <c r="F38" s="1" t="inlineStr">
        <is>
          <t>기타</t>
        </is>
      </c>
    </row>
    <row r="39" ht="18" customHeight="1">
      <c r="A39" s="2" t="inlineStr">
        <is>
          <t>월 고정비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 ht="18" customHeight="1">
      <c r="A40" s="2" t="inlineStr">
        <is>
          <t>BEP 수량</t>
        </is>
      </c>
      <c r="B40" s="11">
        <f>IFERROR(CEILING(B39/B29,1),0)</f>
        <v/>
      </c>
      <c r="C40" s="11">
        <f>IFERROR(CEILING(C39/C29,1),0)</f>
        <v/>
      </c>
      <c r="D40" s="11">
        <f>IFERROR(CEILING(D39/D29,1),0)</f>
        <v/>
      </c>
      <c r="E40" s="11">
        <f>IFERROR(CEILING(E39/E29,1),0)</f>
        <v/>
      </c>
      <c r="F40" s="11">
        <f>IFERROR(CEILING(F39/F29,1),0)</f>
        <v/>
      </c>
    </row>
    <row r="41" ht="18" customHeight="1">
      <c r="A41" s="2" t="inlineStr">
        <is>
          <t>BEP 매출</t>
        </is>
      </c>
      <c r="B41" s="11">
        <f>IFERROR(B40*B23,0)</f>
        <v/>
      </c>
      <c r="C41" s="11">
        <f>IFERROR(C40*C23,0)</f>
        <v/>
      </c>
      <c r="D41" s="11">
        <f>IFERROR(D40*D23,0)</f>
        <v/>
      </c>
      <c r="E41" s="11">
        <f>IFERROR(E40*E23,0)</f>
        <v/>
      </c>
      <c r="F41" s="11">
        <f>IFERROR(F40*F23,0)</f>
        <v/>
      </c>
    </row>
  </sheetData>
  <mergeCells count="5">
    <mergeCell ref="A32:G32"/>
    <mergeCell ref="A16:B16"/>
    <mergeCell ref="A20:G20"/>
    <mergeCell ref="A1:B1"/>
    <mergeCell ref="A37:G37"/>
  </mergeCells>
  <dataValidations count="1">
    <dataValidation sqref="B13" showDropDown="0" showInputMessage="0" showErrorMessage="0" allowBlank="0" type="list">
      <formula1>"과세,면세"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38" customWidth="1" min="4" max="4"/>
    <col width="22" customWidth="1" min="5" max="5"/>
  </cols>
  <sheetData>
    <row r="1">
      <c r="A1" s="1" t="inlineStr">
        <is>
          <t>플랫폼</t>
        </is>
      </c>
      <c r="B1" s="1" t="inlineStr">
        <is>
          <t>서비스</t>
        </is>
      </c>
      <c r="C1" s="1" t="inlineStr">
        <is>
          <t>수수료율</t>
        </is>
      </c>
      <c r="D1" s="1" t="inlineStr">
        <is>
          <t>비고</t>
        </is>
      </c>
      <c r="E1" s="1" t="inlineStr">
        <is>
          <t>업데이트</t>
        </is>
      </c>
    </row>
    <row r="2" ht="36" customHeight="1">
      <c r="A2" s="12" t="inlineStr">
        <is>
          <t>스마트스토어</t>
        </is>
      </c>
      <c r="B2" s="12" t="inlineStr">
        <is>
          <t>기본 판매 수수료</t>
        </is>
      </c>
      <c r="C2" s="12" t="inlineStr">
        <is>
          <t>5.63%</t>
        </is>
      </c>
      <c r="D2" s="12" t="inlineStr">
        <is>
          <t>매출 연동 수수료 (부가세 별도)
카테고리에 따라 상이 (2~6%)</t>
        </is>
      </c>
      <c r="E2" s="12" t="inlineStr">
        <is>
          <t>2026.06</t>
        </is>
      </c>
    </row>
    <row r="3" ht="36" customHeight="1">
      <c r="A3" s="12" t="inlineStr">
        <is>
          <t>스마트스토어</t>
        </is>
      </c>
      <c r="B3" s="12" t="inlineStr">
        <is>
          <t>결제 수수료</t>
        </is>
      </c>
      <c r="C3" s="12" t="inlineStr">
        <is>
          <t>포함</t>
        </is>
      </c>
      <c r="D3" s="12" t="inlineStr">
        <is>
          <t>판매 수수료에 포함</t>
        </is>
      </c>
      <c r="E3" s="12" t="inlineStr">
        <is>
          <t>2026.06</t>
        </is>
      </c>
    </row>
    <row r="4" ht="36" customHeight="1">
      <c r="A4" s="13" t="inlineStr">
        <is>
          <t>쿠팡</t>
        </is>
      </c>
      <c r="B4" s="13" t="inlineStr">
        <is>
          <t>로켓그로스 수수료</t>
        </is>
      </c>
      <c r="C4" s="13" t="inlineStr">
        <is>
          <t>10.6%</t>
        </is>
      </c>
      <c r="D4" s="13" t="inlineStr">
        <is>
          <t>풀필먼트+판매수수료 통합
(카테고리별 8~12%)</t>
        </is>
      </c>
      <c r="E4" s="13" t="inlineStr">
        <is>
          <t>2026.06</t>
        </is>
      </c>
    </row>
    <row r="5" ht="36" customHeight="1">
      <c r="A5" s="13" t="inlineStr">
        <is>
          <t>쿠팡</t>
        </is>
      </c>
      <c r="B5" s="13" t="inlineStr">
        <is>
          <t>마켓플레이스 수수료</t>
        </is>
      </c>
      <c r="C5" s="13" t="inlineStr">
        <is>
          <t>5.5~11%</t>
        </is>
      </c>
      <c r="D5" s="13" t="inlineStr">
        <is>
          <t>카테고리별 상이
기본 적용률 10.6% 사용</t>
        </is>
      </c>
      <c r="E5" s="13" t="inlineStr">
        <is>
          <t>2026.06</t>
        </is>
      </c>
    </row>
    <row r="6" ht="36" customHeight="1">
      <c r="A6" s="14" t="inlineStr">
        <is>
          <t>카페24</t>
        </is>
      </c>
      <c r="B6" s="14" t="inlineStr">
        <is>
          <t>거래 수수료</t>
        </is>
      </c>
      <c r="C6" s="14" t="inlineStr">
        <is>
          <t>3.5%</t>
        </is>
      </c>
      <c r="D6" s="14" t="inlineStr">
        <is>
          <t>월정액 플랜에 따라 0~3.5%
기본 스탠다드 기준</t>
        </is>
      </c>
      <c r="E6" s="14" t="inlineStr">
        <is>
          <t>2026.06</t>
        </is>
      </c>
    </row>
    <row r="7" ht="36" customHeight="1">
      <c r="A7" s="14" t="inlineStr">
        <is>
          <t>카페24</t>
        </is>
      </c>
      <c r="B7" s="14" t="inlineStr">
        <is>
          <t>PG 결제 수수료</t>
        </is>
      </c>
      <c r="C7" s="14" t="inlineStr">
        <is>
          <t>별도</t>
        </is>
      </c>
      <c r="D7" s="14" t="inlineStr">
        <is>
          <t>카드사별 2.0~3.3% 별도 발생</t>
        </is>
      </c>
      <c r="E7" s="14" t="inlineStr">
        <is>
          <t>2026.06</t>
        </is>
      </c>
    </row>
    <row r="8" ht="36" customHeight="1">
      <c r="A8" s="15" t="inlineStr">
        <is>
          <t>토스쇼핑</t>
        </is>
      </c>
      <c r="B8" s="15" t="inlineStr">
        <is>
          <t>판매 수수료</t>
        </is>
      </c>
      <c r="C8" s="15" t="inlineStr">
        <is>
          <t>11.0%</t>
        </is>
      </c>
      <c r="D8" s="15" t="inlineStr">
        <is>
          <t>토스페이먼츠 결제 수수료 포함
(카테고리별 9~13%)</t>
        </is>
      </c>
      <c r="E8" s="15" t="inlineStr">
        <is>
          <t>2026.06</t>
        </is>
      </c>
    </row>
    <row r="9" ht="36" customHeight="1">
      <c r="A9" s="16" t="inlineStr">
        <is>
          <t>기타 (사용자 설정)</t>
        </is>
      </c>
      <c r="B9" s="16" t="inlineStr">
        <is>
          <t>수수료</t>
        </is>
      </c>
      <c r="C9" s="16" t="inlineStr">
        <is>
          <t>5.0%</t>
        </is>
      </c>
      <c r="D9" s="16" t="inlineStr">
        <is>
          <t>직접 수정 가능 (기본값 5%)</t>
        </is>
      </c>
      <c r="E9" s="16" t="inlineStr">
        <is>
          <t>2026.06</t>
        </is>
      </c>
    </row>
    <row r="11">
      <c r="A11" s="17" t="inlineStr">
        <is>
          <t>※ 위 수수료율은 2026년 6월 기준이며, 각 플랫폼 정책 변경 시 업데이트 필요합니다.</t>
        </is>
      </c>
    </row>
  </sheetData>
  <mergeCells count="1"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2026-06-06T01:47:37Z</dcterms:created>
  <dcterms:modified xsi:type="dcterms:W3CDTF">2026-06-06T01:47:37Z</dcterms:modified>
</cp:coreProperties>
</file>